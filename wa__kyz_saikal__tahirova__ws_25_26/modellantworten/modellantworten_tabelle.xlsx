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Kyz Saikal\whz\wa\meine_arbeit\wa__kyz_saikal__tahirova__ws_25_26\modellantworten\"/>
    </mc:Choice>
  </mc:AlternateContent>
  <xr:revisionPtr revIDLastSave="0" documentId="13_ncr:1_{34BE2919-9EA3-4C1C-BA63-6E2C52A4E850}" xr6:coauthVersionLast="45" xr6:coauthVersionMax="45" xr10:uidLastSave="{00000000-0000-0000-0000-000000000000}"/>
  <bookViews>
    <workbookView xWindow="-108" yWindow="-108" windowWidth="23256" windowHeight="12456" activeTab="1" xr2:uid="{66559A3D-BDC4-439E-9EC6-4FED79841905}"/>
  </bookViews>
  <sheets>
    <sheet name="Richtige Beispiele" sheetId="1" r:id="rId1"/>
    <sheet name="Fehlerhafte Beispiele" sheetId="2" r:id="rId2"/>
    <sheet name="Versionshinweise" sheetId="3" r:id="rId3"/>
  </sheets>
  <definedNames>
    <definedName name="_xlchart.v1.0" hidden="1">'Fehlerhafte Beispiele'!$A$2:$J$53</definedName>
    <definedName name="_xlchart.v1.1" hidden="1">'Fehlerhafte Beispiele'!$K$1</definedName>
    <definedName name="_xlchart.v1.2" hidden="1">'Fehlerhafte Beispiele'!$K$2:$K$53</definedName>
    <definedName name="_xlchart.v1.3" hidden="1">'Fehlerhafte Beispiele'!$A$2:$J$53</definedName>
    <definedName name="_xlchart.v1.4" hidden="1">'Fehlerhafte Beispiele'!$K$1</definedName>
    <definedName name="_xlchart.v1.5" hidden="1">'Fehlerhafte Beispiele'!$K$2:$K$53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53" i="2" l="1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<sst xmlns="http://schemas.openxmlformats.org/spreadsheetml/2006/main" count="638" uniqueCount="119">
  <si>
    <t>A1</t>
  </si>
  <si>
    <t>OpenAI GPT-4o</t>
  </si>
  <si>
    <t>V1</t>
  </si>
  <si>
    <t>Nein</t>
  </si>
  <si>
    <t>3</t>
  </si>
  <si>
    <t>5</t>
  </si>
  <si>
    <t>4</t>
  </si>
  <si>
    <t>Verbesserungsvorschlag gut, aber kein Anti-Muster benannt; nur implizite Kritik.</t>
  </si>
  <si>
    <t>V2</t>
  </si>
  <si>
    <t>Lobt Code, erkennt Anti-Muster nicht.</t>
  </si>
  <si>
    <t>V3</t>
  </si>
  <si>
    <t>Implizite Zuordnung zu A: "Methode tut mehr als der Name sagt".</t>
  </si>
  <si>
    <t>V4</t>
  </si>
  <si>
    <t>Ja</t>
  </si>
  <si>
    <t>Explizite Nennung von Anti-Muster A.</t>
  </si>
  <si>
    <t>A2</t>
  </si>
  <si>
    <t>Beschreibt semantischen Widerspruch, nennt aber kein Anti-Muster.</t>
  </si>
  <si>
    <t>Keine Zuordnung zu A oder C, trotz passender Situation.</t>
  </si>
  <si>
    <t>Kritisiert Inkonsistenz, benennt aber kein Anti-Muster.</t>
  </si>
  <si>
    <t>Explizite Zuordnung zu A und C.</t>
  </si>
  <si>
    <t>C1</t>
  </si>
  <si>
    <t>Kritisiert semantische Inkonsistenz, aber kein Anti-Muster benannt.</t>
  </si>
  <si>
    <t>Gute Vorschläge, aber kein Anti-Muster identifiziert.</t>
  </si>
  <si>
    <t>Keine explizite Anti-Muster-Erkennung.</t>
  </si>
  <si>
    <t>Explizite Identifikation von B und C.</t>
  </si>
  <si>
    <t>C2</t>
  </si>
  <si>
    <t>Allgemeine Kritik, aber kein Anti-Muster benannt.</t>
  </si>
  <si>
    <t>"Unklarer Rückgabewert", aber kein Anti-Muster.</t>
  </si>
  <si>
    <t>Keine Anti-Muster-Taxonomie verwendet.</t>
  </si>
  <si>
    <t>Explizite Nennung von B und indirekt C.</t>
  </si>
  <si>
    <t>D1</t>
  </si>
  <si>
    <t>Meta LLaMA 3.1 70B Instruct</t>
  </si>
  <si>
    <t>Korrekte Analyse, aber in V1 kein Anti-Muster benannt.</t>
  </si>
  <si>
    <t>Bezieht Java-Bean-Konventionen ein, nennt aber kein Anti-Muster.</t>
  </si>
  <si>
    <t>D2</t>
  </si>
  <si>
    <t>Beschreibt Problem präzise, aber kein Anti-Muster benannt.</t>
  </si>
  <si>
    <t>Gleiche Analyse ohne Anti-Muster-Nennung.</t>
  </si>
  <si>
    <t>Verweist auf Konventionen, nicht auf Anti-Muster.</t>
  </si>
  <si>
    <t>Klare Zuordnung zu B und C.</t>
  </si>
  <si>
    <t>E1</t>
  </si>
  <si>
    <t>Kritisiert Inkonsistenz, aber ohne Anti-Muster-Terminologie.</t>
  </si>
  <si>
    <t>Keine Anti-Muster-Erkennung.</t>
  </si>
  <si>
    <t>Keine Zuordnung zu D/E/F.</t>
  </si>
  <si>
    <t>Explizite Nennung von B sowie D/E/F (Plural/Singular, Typ/Name).</t>
  </si>
  <si>
    <t>E2</t>
  </si>
  <si>
    <t>Erkennt Plural/Singular-Inkonsistenz, aber kein Anti-Muster benannt.</t>
  </si>
  <si>
    <t>Gleiches Verhalten.</t>
  </si>
  <si>
    <t>Keine Anti-Muster-Nennung trotz klarer Inkonsistenz.</t>
  </si>
  <si>
    <t>Explizite Zuordnung zu Anti-Muster D.</t>
  </si>
  <si>
    <t>B1</t>
  </si>
  <si>
    <t>Alibaba Qwen3-Coder</t>
  </si>
  <si>
    <t>Kritisiert checkFormat() als ungenau, nennt aber kein Anti-Muster (A/B).</t>
  </si>
  <si>
    <t>Guter Vergleich mit Beispielen, aber keine Anti-Muster-Taxonomie.</t>
  </si>
  <si>
    <t>Analyse ist tief, aber kein Anti-Muster benannt.</t>
  </si>
  <si>
    <t>Explizite Zuordnung zu Anti-Muster B.</t>
  </si>
  <si>
    <t>B2</t>
  </si>
  <si>
    <t>Erkennt irreführenden Namen calculateTotal(), aber kein Anti-Muster.</t>
  </si>
  <si>
    <t>Keine Anti-Muster-Nennung trotz klarer Situation.</t>
  </si>
  <si>
    <t>Beschreibt Inkonsistenz, benennt aber kein Anti-Muster.</t>
  </si>
  <si>
    <t>Klare Identifikation von Anti-Muster B.</t>
  </si>
  <si>
    <t>B3</t>
  </si>
  <si>
    <t>Kritisiert getVersion() als void, aber kein Anti-Muster benannt.</t>
  </si>
  <si>
    <t>Guter Vergleich mit Beispielen, fehlt Anti-Muster-Bezug.</t>
  </si>
  <si>
    <t>Gute Analyse, aber keine Anti-Muster-Taxonomie.</t>
  </si>
  <si>
    <t>Explizite Zuordnung zu A, B, C.</t>
  </si>
  <si>
    <t>F1</t>
  </si>
  <si>
    <t>Kritisiert isEnabled als Feld, aber kein Anti-Muster benannt.</t>
  </si>
  <si>
    <t>Keine Zuordnung zu D–F, trotz klarer Inkonsistenz.</t>
  </si>
  <si>
    <t>Gute Analyse der JavaBeans-Konvention, aber kein Anti-Muster genannt.</t>
  </si>
  <si>
    <t>Explizite Identifikation von B und D–F.</t>
  </si>
  <si>
    <t>F2</t>
  </si>
  <si>
    <t>Erkennt Tippfehler und semantische Unklarheit bei center, aber kein Anti-Muster.</t>
  </si>
  <si>
    <t>Klare Kritik, aber keine Anti-Muster-Taxonomie.</t>
  </si>
  <si>
    <t>Sehr gute Analyse der Inkonsistenz, aber kein Anti-Muster benannt.</t>
  </si>
  <si>
    <t>Erkennt kein Anti-Muster – korrekt, da keins vorhanden ist.</t>
  </si>
  <si>
    <t>Lobt gute Bezeichnerpraxis – kein falscher Alarm.</t>
  </si>
  <si>
    <t>Bestätigt Konformität mit Oracle-Konventionen.</t>
  </si>
  <si>
    <t>Prüft alle Anti-Muster A–F → keines gefunden → korrekt.</t>
  </si>
  <si>
    <t>Code ist korrekt, aber meldet fälschlich Verbesserungsbedarf (z. B. isPremium→ hasPremiumMembership). Das ist kein Anti-Muster → False Positive.</t>
  </si>
  <si>
    <t>Behauptet, Anti-Muster B und D lägen vor – tut sie aber nicht. isPremium und boolean ist korrekt. premiumLevel als int ist kein Anti-Muster, solange kein Kontext Widerspruch erzeugt. → False Positive.</t>
  </si>
  <si>
    <t>Erkennt, dass Code korrekt ist; keine falschen Warnungen.</t>
  </si>
  <si>
    <t>Lobt konsistente, klare Benennung (users als List&lt;User&gt;).</t>
  </si>
  <si>
    <t>Bestätigt Konsistenz zwischen Name, Typ und Verhalten.</t>
  </si>
  <si>
    <t xml:space="preserve">Prüft Anti-Muster A–F </t>
  </si>
  <si>
    <t>Beispiel</t>
  </si>
  <si>
    <t>Modell</t>
  </si>
  <si>
    <t>Hinweis</t>
  </si>
  <si>
    <t>Anti-Muster erkannt?</t>
  </si>
  <si>
    <t xml:space="preserve">Korrekturqualität </t>
  </si>
  <si>
    <t>Konventionen</t>
  </si>
  <si>
    <t>Klarheit</t>
  </si>
  <si>
    <t>Konsistenz</t>
  </si>
  <si>
    <t>False positive?</t>
  </si>
  <si>
    <t>Gesamt</t>
  </si>
  <si>
    <t>Kommentare</t>
  </si>
  <si>
    <t>Gute Empfehlung, aber keine Anti-Muster-Nennung.K20</t>
  </si>
  <si>
    <t xml:space="preserve">E2 </t>
  </si>
  <si>
    <t>v1</t>
  </si>
  <si>
    <t>Analysieren Sie die Bezeichner im folgenden Java-Code und identifizieren Sie mögliche Benennungs- oder Struktur-Anti-Muster. [CODE]</t>
  </si>
  <si>
    <t>v2</t>
  </si>
  <si>
    <t>Beispiele für gute Bezeichner:</t>
  </si>
  <si>
    <t>- Klassen: CustomerAccount, PaymentProcessor</t>
  </si>
  <si>
    <t>- Methoden: calculateTotal(), validateInput()</t>
  </si>
  <si>
    <t>- Attribute: userName, itemCount</t>
  </si>
  <si>
    <t>Analysieren Sie nun folgenden Code:</t>
  </si>
  <si>
    <t>[CODE]</t>
  </si>
  <si>
    <t>v3</t>
  </si>
  <si>
    <t>Analysieren Sie den Code unter Berücksichtigung von:</t>
  </si>
  <si>
    <t>1) Java-Konventionen (Oracle)</t>
  </si>
  <si>
    <t>2) Konsistenz zwischen Name, Typ und Verhalten</t>
  </si>
  <si>
    <t>3) Verständlichkeit und Bedeutung</t>
  </si>
  <si>
    <t>Geben Sie Hinweise für Entwickler.</t>
  </si>
  <si>
    <t>v4</t>
  </si>
  <si>
    <t>Linguistische Anti-Muster:</t>
  </si>
  <si>
    <t>A: Methode tut mehr als Name sagt</t>
  </si>
  <si>
    <t>B: Name verspricht mehr als implementiert</t>
  </si>
  <si>
    <t>C: Name und Verhalten sind gegensätzlich</t>
  </si>
  <si>
    <t>D-F: Inkonsistenzen bei Attributnamen</t>
  </si>
  <si>
    <t>Analysieren Sie nun den Code: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</si>
</sst>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Leelawadee UI"/>
      <family val="2"/>
    </font>
    <font>
      <b/>
      <sz val="12"/>
      <color theme="3"/>
      <name val="Leelawadee UI"/>
      <family val="2"/>
      <charset val="204"/>
    </font>
    <font>
      <b/>
      <sz val="12"/>
      <color theme="1"/>
      <name val="Leelawadee UI"/>
      <family val="2"/>
    </font>
    <font>
      <b/>
      <sz val="12"/>
      <name val="Leelawadee UI"/>
      <family val="2"/>
      <charset val="204"/>
    </font>
    <font>
      <sz val="8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 style="thin">
        <color theme="4"/>
      </left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 style="thin">
        <color theme="4"/>
      </right>
      <top style="medium">
        <color theme="4"/>
      </top>
      <bottom style="thin">
        <color theme="4"/>
      </bottom>
      <diagonal/>
    </border>
    <border>
      <left/>
      <right style="thin">
        <color theme="4"/>
      </right>
      <top style="medium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medium">
        <color theme="4"/>
      </top>
      <bottom style="thin">
        <color theme="4"/>
      </bottom>
      <diagonal/>
    </border>
    <border>
      <left/>
      <right style="thin">
        <color theme="4"/>
      </right>
      <top/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 style="medium">
        <color theme="4"/>
      </bottom>
      <diagonal/>
    </border>
    <border>
      <left style="thin">
        <color theme="4"/>
      </left>
      <right/>
      <top/>
      <bottom style="medium">
        <color theme="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6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2" fontId="3" fillId="2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2" fontId="3" fillId="0" borderId="1" xfId="1" applyNumberFormat="1" applyFont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2" fontId="3" fillId="0" borderId="2" xfId="1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2" fontId="3" fillId="2" borderId="2" xfId="1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1" fontId="2" fillId="2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" fontId="4" fillId="0" borderId="6" xfId="0" applyNumberFormat="1" applyFont="1" applyBorder="1" applyAlignment="1">
      <alignment horizontal="center" vertical="center" wrapText="1"/>
    </xf>
    <xf numFmtId="2" fontId="5" fillId="0" borderId="6" xfId="1" applyNumberFormat="1" applyFont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/>
    </xf>
    <xf numFmtId="1" fontId="2" fillId="2" borderId="8" xfId="1" applyNumberFormat="1" applyFont="1" applyFill="1" applyBorder="1" applyAlignment="1">
      <alignment horizontal="center" vertical="center"/>
    </xf>
    <xf numFmtId="2" fontId="3" fillId="2" borderId="8" xfId="1" applyNumberFormat="1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left" vertical="center" wrapText="1"/>
    </xf>
    <xf numFmtId="0" fontId="2" fillId="2" borderId="4" xfId="0" applyFont="1" applyFill="1" applyBorder="1" applyAlignment="1">
      <alignment horizontal="left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2" fontId="4" fillId="0" borderId="13" xfId="0" applyNumberFormat="1" applyFont="1" applyBorder="1" applyAlignment="1">
      <alignment horizontal="center" vertical="center" wrapText="1"/>
    </xf>
    <xf numFmtId="2" fontId="5" fillId="0" borderId="13" xfId="1" applyNumberFormat="1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/>
    </xf>
    <xf numFmtId="2" fontId="3" fillId="0" borderId="3" xfId="1" applyNumberFormat="1" applyFont="1" applyBorder="1" applyAlignment="1">
      <alignment horizontal="center" vertical="center"/>
    </xf>
  </cellXfs>
  <cellStyles count="2">
    <cellStyle name="Обычный" xfId="0" builtinId="0"/>
    <cellStyle name="Финансовый" xfId="1" builtinId="3"/>
  </cellStyles>
  <dxfs count="2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Leelawadee UI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theme="4"/>
        </left>
        <right/>
        <top style="thin">
          <color theme="4"/>
        </top>
        <bottom style="thin">
          <color theme="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3"/>
        <name val="Leelawadee UI"/>
        <family val="2"/>
        <charset val="204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Leelawadee UI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Leelawadee UI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Leelawadee UI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Leelawadee UI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Leelawadee UI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border outline="0">
        <bottom style="medium">
          <color theme="4"/>
        </bottom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Leelawadee UI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theme="4"/>
        </left>
        <right/>
        <top style="thin">
          <color theme="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3"/>
        <name val="Leelawadee UI"/>
        <family val="2"/>
        <charset val="204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theme="4"/>
        </left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Leelawadee UI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theme="4"/>
        </left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Leelawadee UI"/>
        <family val="2"/>
        <scheme val="none"/>
      </font>
      <numFmt numFmtId="1" formatCode="0"/>
      <alignment horizontal="center" vertical="center" textRotation="0" wrapText="1" indent="0" justifyLastLine="0" shrinkToFit="0" readingOrder="0"/>
      <border diagonalUp="0" diagonalDown="0">
        <left style="thin">
          <color theme="4"/>
        </left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Leelawadee UI"/>
        <family val="2"/>
        <scheme val="none"/>
      </font>
      <numFmt numFmtId="1" formatCode="0"/>
      <alignment horizontal="center" vertical="center" textRotation="0" wrapText="1" indent="0" justifyLastLine="0" shrinkToFit="0" readingOrder="0"/>
      <border diagonalUp="0" diagonalDown="0">
        <left style="thin">
          <color theme="4"/>
        </left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Leelawadee UI"/>
        <family val="2"/>
        <scheme val="none"/>
      </font>
      <numFmt numFmtId="1" formatCode="0"/>
      <alignment horizontal="center" vertical="center" textRotation="0" wrapText="1" indent="0" justifyLastLine="0" shrinkToFit="0" readingOrder="0"/>
      <border diagonalUp="0" diagonalDown="0">
        <left style="thin">
          <color theme="4"/>
        </left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Leelawadee UI"/>
        <family val="2"/>
        <scheme val="none"/>
      </font>
      <numFmt numFmtId="1" formatCode="0"/>
      <alignment horizontal="center" vertical="center" textRotation="0" wrapText="1" indent="0" justifyLastLine="0" shrinkToFit="0" readingOrder="0"/>
      <border diagonalUp="0" diagonalDown="0">
        <left style="thin">
          <color theme="4"/>
        </left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Leelawadee UI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theme="4"/>
        </left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Leelawadee UI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theme="4"/>
        </left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Leelawade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4"/>
        </left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Leelawadee UI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5FC67E7-E144-422E-8B05-22EA048C1892}" name="Таблица2" displayName="Таблица2" ref="A1:K13" totalsRowShown="0" tableBorderDxfId="20">
  <autoFilter ref="A1:K13" xr:uid="{D29E348E-8A9D-4055-8371-39C34F608E0F}"/>
  <tableColumns count="11">
    <tableColumn id="1" xr3:uid="{52AA3614-884A-4F18-88C5-D112B0ECA656}" name="Beispiel" dataDxfId="19"/>
    <tableColumn id="2" xr3:uid="{38971111-62B9-4F30-9652-52A9ABE83775}" name="Modell" dataDxfId="18"/>
    <tableColumn id="3" xr3:uid="{B13462D2-4FFE-4404-9896-B73C6A3D0872}" name="Hinweis" dataDxfId="17"/>
    <tableColumn id="4" xr3:uid="{FFE0FC46-69FD-407B-8312-0E286FB64F1F}" name="Anti-Muster erkannt?" dataDxfId="16"/>
    <tableColumn id="5" xr3:uid="{B0764CD1-8F07-4A92-825A-A974A3D98391}" name="Korrekturqualität " dataDxfId="15"/>
    <tableColumn id="6" xr3:uid="{835512A1-6A1D-4F5C-9BD0-E54102F2C11E}" name="Konventionen" dataDxfId="14"/>
    <tableColumn id="7" xr3:uid="{5DBF579F-1E4A-4185-8EFE-B97866365A8E}" name="Klarheit" dataDxfId="13"/>
    <tableColumn id="8" xr3:uid="{EED7691D-CC91-4045-8937-A57FCAD158D8}" name="Konsistenz" dataDxfId="12"/>
    <tableColumn id="9" xr3:uid="{F0E3ACB3-2A1F-4694-80E9-484FB6E9C5C2}" name="False positive?" dataDxfId="11"/>
    <tableColumn id="10" xr3:uid="{DDA516DE-32D1-4A3D-89E8-DA4950195D46}" name="Gesamt" dataDxfId="10" dataCellStyle="Финансовый">
      <calculatedColumnFormula>(E2+F2+G2+H2)/4</calculatedColumnFormula>
    </tableColumn>
    <tableColumn id="11" xr3:uid="{5BF356E3-E81D-46A8-8BC4-F60C6718232A}" name="Kommentare" dataDxfId="9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4E9D879-192A-40A8-A9A5-A92F19444A60}" name="Таблица3" displayName="Таблица3" ref="A1:K53" totalsRowShown="0" headerRowBorderDxfId="7" tableBorderDxfId="8">
  <autoFilter ref="A1:K53" xr:uid="{8F1CA606-2082-4062-B3E3-297399F151A8}"/>
  <tableColumns count="11">
    <tableColumn id="1" xr3:uid="{3C333CF7-2CB5-4706-8E0F-1B48378489BB}" name="Beispiel" dataDxfId="6"/>
    <tableColumn id="2" xr3:uid="{2F7407AF-716E-4EE7-B3A8-9ECCDBD8797E}" name="Modell" dataDxfId="5"/>
    <tableColumn id="3" xr3:uid="{42EAFF4C-55DE-491D-8732-B687AD192F67}" name="Hinweis" dataDxfId="4"/>
    <tableColumn id="4" xr3:uid="{4E4AF691-4AF5-4069-81DD-66D8EC05CDC7}" name="Anti-Muster erkannt?" dataDxfId="3"/>
    <tableColumn id="5" xr3:uid="{BA4D9D0D-9589-450C-BE4F-4BECB20FE42B}" name="Korrekturqualität "/>
    <tableColumn id="6" xr3:uid="{9827F686-ACD5-4C03-8495-9B6C6DC73DD6}" name="Konventionen"/>
    <tableColumn id="7" xr3:uid="{991E423E-673F-4485-AD3A-4E04416F7840}" name="Klarheit"/>
    <tableColumn id="8" xr3:uid="{12C6FA36-BC62-4921-A586-40708E1FD79D}" name="Konsistenz"/>
    <tableColumn id="9" xr3:uid="{CFD3E60B-D63C-46AC-BE15-0689D88BF60F}" name="False positive?" dataDxfId="2"/>
    <tableColumn id="10" xr3:uid="{FC59FE46-5DF8-431F-B57A-8245952C451E}" name="Gesamt" dataDxfId="1" dataCellStyle="Финансовый">
      <calculatedColumnFormula>(E2+F2+G2+H2)/4</calculatedColumnFormula>
    </tableColumn>
    <tableColumn id="11" xr3:uid="{E9E13314-43A4-4F30-ABD9-E75EF4676018}" name="Kommentare" dataDxfId="0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8F2C1-3909-4B82-B735-33750B4301C6}">
  <dimension ref="A1:K13"/>
  <sheetViews>
    <sheetView zoomScale="56" workbookViewId="0">
      <selection activeCell="M6" sqref="M6"/>
    </sheetView>
  </sheetViews>
  <sheetFormatPr defaultRowHeight="14.4" x14ac:dyDescent="0.3"/>
  <cols>
    <col min="1" max="1" width="11.77734375" customWidth="1"/>
    <col min="2" max="2" width="29" bestFit="1" customWidth="1"/>
    <col min="3" max="3" width="12.77734375" bestFit="1" customWidth="1"/>
    <col min="4" max="4" width="25.33203125" customWidth="1"/>
    <col min="5" max="5" width="21.77734375" customWidth="1"/>
    <col min="6" max="6" width="17.5546875" customWidth="1"/>
    <col min="7" max="7" width="16.21875" bestFit="1" customWidth="1"/>
    <col min="8" max="8" width="14.21875" customWidth="1"/>
    <col min="9" max="9" width="18" customWidth="1"/>
    <col min="10" max="10" width="10.77734375" customWidth="1"/>
    <col min="11" max="11" width="42.33203125" customWidth="1"/>
  </cols>
  <sheetData>
    <row r="1" spans="1:11" ht="19.2" x14ac:dyDescent="0.3">
      <c r="A1" s="23" t="s">
        <v>84</v>
      </c>
      <c r="B1" s="24" t="s">
        <v>85</v>
      </c>
      <c r="C1" s="24" t="s">
        <v>86</v>
      </c>
      <c r="D1" s="24" t="s">
        <v>87</v>
      </c>
      <c r="E1" s="25" t="s">
        <v>88</v>
      </c>
      <c r="F1" s="25" t="s">
        <v>89</v>
      </c>
      <c r="G1" s="25" t="s">
        <v>90</v>
      </c>
      <c r="H1" s="25" t="s">
        <v>91</v>
      </c>
      <c r="I1" s="24" t="s">
        <v>92</v>
      </c>
      <c r="J1" s="26" t="s">
        <v>93</v>
      </c>
      <c r="K1" s="24" t="s">
        <v>94</v>
      </c>
    </row>
    <row r="2" spans="1:11" ht="38.4" x14ac:dyDescent="0.3">
      <c r="A2" s="19" t="s">
        <v>0</v>
      </c>
      <c r="B2" s="15" t="s">
        <v>50</v>
      </c>
      <c r="C2" s="15" t="s">
        <v>2</v>
      </c>
      <c r="D2" s="15" t="s">
        <v>3</v>
      </c>
      <c r="E2" s="16">
        <v>5</v>
      </c>
      <c r="F2" s="16">
        <v>5</v>
      </c>
      <c r="G2" s="16">
        <v>5</v>
      </c>
      <c r="H2" s="16">
        <v>5</v>
      </c>
      <c r="I2" s="15" t="s">
        <v>3</v>
      </c>
      <c r="J2" s="14">
        <f t="shared" ref="J2:J13" si="0">(E2+F2+G2+H2)/4</f>
        <v>5</v>
      </c>
      <c r="K2" s="21" t="s">
        <v>74</v>
      </c>
    </row>
    <row r="3" spans="1:11" ht="38.4" x14ac:dyDescent="0.3">
      <c r="A3" s="19" t="s">
        <v>0</v>
      </c>
      <c r="B3" s="17" t="s">
        <v>50</v>
      </c>
      <c r="C3" s="17" t="s">
        <v>8</v>
      </c>
      <c r="D3" s="17" t="s">
        <v>3</v>
      </c>
      <c r="E3" s="18">
        <v>5</v>
      </c>
      <c r="F3" s="18">
        <v>5</v>
      </c>
      <c r="G3" s="18">
        <v>5</v>
      </c>
      <c r="H3" s="18">
        <v>5</v>
      </c>
      <c r="I3" s="17" t="s">
        <v>3</v>
      </c>
      <c r="J3" s="12">
        <f t="shared" si="0"/>
        <v>5</v>
      </c>
      <c r="K3" s="20" t="s">
        <v>75</v>
      </c>
    </row>
    <row r="4" spans="1:11" ht="38.4" x14ac:dyDescent="0.3">
      <c r="A4" s="19" t="s">
        <v>0</v>
      </c>
      <c r="B4" s="15" t="s">
        <v>50</v>
      </c>
      <c r="C4" s="15" t="s">
        <v>10</v>
      </c>
      <c r="D4" s="15" t="s">
        <v>3</v>
      </c>
      <c r="E4" s="16">
        <v>5</v>
      </c>
      <c r="F4" s="16">
        <v>5</v>
      </c>
      <c r="G4" s="16">
        <v>5</v>
      </c>
      <c r="H4" s="16">
        <v>5</v>
      </c>
      <c r="I4" s="15" t="s">
        <v>3</v>
      </c>
      <c r="J4" s="14">
        <f t="shared" si="0"/>
        <v>5</v>
      </c>
      <c r="K4" s="21" t="s">
        <v>76</v>
      </c>
    </row>
    <row r="5" spans="1:11" ht="38.4" x14ac:dyDescent="0.3">
      <c r="A5" s="19" t="s">
        <v>0</v>
      </c>
      <c r="B5" s="17" t="s">
        <v>50</v>
      </c>
      <c r="C5" s="17" t="s">
        <v>12</v>
      </c>
      <c r="D5" s="17" t="s">
        <v>3</v>
      </c>
      <c r="E5" s="18">
        <v>5</v>
      </c>
      <c r="F5" s="18">
        <v>5</v>
      </c>
      <c r="G5" s="18">
        <v>5</v>
      </c>
      <c r="H5" s="18">
        <v>5</v>
      </c>
      <c r="I5" s="17" t="s">
        <v>3</v>
      </c>
      <c r="J5" s="12">
        <f t="shared" si="0"/>
        <v>5</v>
      </c>
      <c r="K5" s="20" t="s">
        <v>77</v>
      </c>
    </row>
    <row r="6" spans="1:11" ht="76.8" x14ac:dyDescent="0.3">
      <c r="A6" s="19" t="s">
        <v>30</v>
      </c>
      <c r="B6" s="13" t="s">
        <v>31</v>
      </c>
      <c r="C6" s="15" t="s">
        <v>2</v>
      </c>
      <c r="D6" s="15" t="s">
        <v>3</v>
      </c>
      <c r="E6" s="16">
        <v>5</v>
      </c>
      <c r="F6" s="16">
        <v>5</v>
      </c>
      <c r="G6" s="16">
        <v>4</v>
      </c>
      <c r="H6" s="16">
        <v>4</v>
      </c>
      <c r="I6" s="15" t="s">
        <v>13</v>
      </c>
      <c r="J6" s="14">
        <f t="shared" si="0"/>
        <v>4.5</v>
      </c>
      <c r="K6" s="21" t="s">
        <v>78</v>
      </c>
    </row>
    <row r="7" spans="1:11" ht="76.8" x14ac:dyDescent="0.3">
      <c r="A7" s="19" t="s">
        <v>30</v>
      </c>
      <c r="B7" s="11" t="s">
        <v>31</v>
      </c>
      <c r="C7" s="17" t="s">
        <v>8</v>
      </c>
      <c r="D7" s="17" t="s">
        <v>3</v>
      </c>
      <c r="E7" s="18">
        <v>5</v>
      </c>
      <c r="F7" s="18">
        <v>5</v>
      </c>
      <c r="G7" s="18">
        <v>4</v>
      </c>
      <c r="H7" s="18">
        <v>4</v>
      </c>
      <c r="I7" s="17" t="s">
        <v>13</v>
      </c>
      <c r="J7" s="12">
        <f t="shared" si="0"/>
        <v>4.5</v>
      </c>
      <c r="K7" s="20" t="s">
        <v>78</v>
      </c>
    </row>
    <row r="8" spans="1:11" ht="76.8" x14ac:dyDescent="0.3">
      <c r="A8" s="19" t="s">
        <v>30</v>
      </c>
      <c r="B8" s="13" t="s">
        <v>31</v>
      </c>
      <c r="C8" s="15" t="s">
        <v>10</v>
      </c>
      <c r="D8" s="15" t="s">
        <v>3</v>
      </c>
      <c r="E8" s="16">
        <v>5</v>
      </c>
      <c r="F8" s="16">
        <v>5</v>
      </c>
      <c r="G8" s="16">
        <v>4</v>
      </c>
      <c r="H8" s="16">
        <v>4</v>
      </c>
      <c r="I8" s="15" t="s">
        <v>13</v>
      </c>
      <c r="J8" s="14">
        <f t="shared" si="0"/>
        <v>4.5</v>
      </c>
      <c r="K8" s="21" t="s">
        <v>78</v>
      </c>
    </row>
    <row r="9" spans="1:11" ht="96" x14ac:dyDescent="0.3">
      <c r="A9" s="19" t="s">
        <v>30</v>
      </c>
      <c r="B9" s="11" t="s">
        <v>31</v>
      </c>
      <c r="C9" s="17" t="s">
        <v>12</v>
      </c>
      <c r="D9" s="17" t="s">
        <v>13</v>
      </c>
      <c r="E9" s="18">
        <v>4</v>
      </c>
      <c r="F9" s="18">
        <v>5</v>
      </c>
      <c r="G9" s="18">
        <v>4</v>
      </c>
      <c r="H9" s="18">
        <v>4</v>
      </c>
      <c r="I9" s="17" t="s">
        <v>13</v>
      </c>
      <c r="J9" s="12">
        <f t="shared" si="0"/>
        <v>4.25</v>
      </c>
      <c r="K9" s="20" t="s">
        <v>79</v>
      </c>
    </row>
    <row r="10" spans="1:11" ht="38.4" x14ac:dyDescent="0.3">
      <c r="A10" s="19" t="s">
        <v>96</v>
      </c>
      <c r="B10" s="13" t="s">
        <v>1</v>
      </c>
      <c r="C10" s="15" t="s">
        <v>2</v>
      </c>
      <c r="D10" s="15" t="s">
        <v>3</v>
      </c>
      <c r="E10" s="16">
        <v>5</v>
      </c>
      <c r="F10" s="16">
        <v>5</v>
      </c>
      <c r="G10" s="16">
        <v>5</v>
      </c>
      <c r="H10" s="16">
        <v>5</v>
      </c>
      <c r="I10" s="15" t="s">
        <v>3</v>
      </c>
      <c r="J10" s="14">
        <f t="shared" si="0"/>
        <v>5</v>
      </c>
      <c r="K10" s="21" t="s">
        <v>80</v>
      </c>
    </row>
    <row r="11" spans="1:11" ht="38.4" x14ac:dyDescent="0.3">
      <c r="A11" s="19" t="s">
        <v>96</v>
      </c>
      <c r="B11" s="11" t="s">
        <v>1</v>
      </c>
      <c r="C11" s="17" t="s">
        <v>8</v>
      </c>
      <c r="D11" s="17" t="s">
        <v>3</v>
      </c>
      <c r="E11" s="18">
        <v>5</v>
      </c>
      <c r="F11" s="18">
        <v>5</v>
      </c>
      <c r="G11" s="18">
        <v>5</v>
      </c>
      <c r="H11" s="18">
        <v>5</v>
      </c>
      <c r="I11" s="17" t="s">
        <v>3</v>
      </c>
      <c r="J11" s="12">
        <f t="shared" si="0"/>
        <v>5</v>
      </c>
      <c r="K11" s="20" t="s">
        <v>81</v>
      </c>
    </row>
    <row r="12" spans="1:11" ht="38.4" x14ac:dyDescent="0.3">
      <c r="A12" s="19" t="s">
        <v>96</v>
      </c>
      <c r="B12" s="13" t="s">
        <v>1</v>
      </c>
      <c r="C12" s="15" t="s">
        <v>10</v>
      </c>
      <c r="D12" s="15" t="s">
        <v>3</v>
      </c>
      <c r="E12" s="16">
        <v>5</v>
      </c>
      <c r="F12" s="16">
        <v>5</v>
      </c>
      <c r="G12" s="16">
        <v>5</v>
      </c>
      <c r="H12" s="16">
        <v>5</v>
      </c>
      <c r="I12" s="15" t="s">
        <v>3</v>
      </c>
      <c r="J12" s="14">
        <f t="shared" si="0"/>
        <v>5</v>
      </c>
      <c r="K12" s="21" t="s">
        <v>82</v>
      </c>
    </row>
    <row r="13" spans="1:11" ht="19.2" x14ac:dyDescent="0.3">
      <c r="A13" s="19" t="s">
        <v>96</v>
      </c>
      <c r="B13" s="11" t="s">
        <v>1</v>
      </c>
      <c r="C13" s="17" t="s">
        <v>12</v>
      </c>
      <c r="D13" s="17" t="s">
        <v>3</v>
      </c>
      <c r="E13" s="18">
        <v>5</v>
      </c>
      <c r="F13" s="18">
        <v>5</v>
      </c>
      <c r="G13" s="18">
        <v>5</v>
      </c>
      <c r="H13" s="18">
        <v>5</v>
      </c>
      <c r="I13" s="17" t="s">
        <v>3</v>
      </c>
      <c r="J13" s="12">
        <f t="shared" si="0"/>
        <v>5</v>
      </c>
      <c r="K13" s="20" t="s">
        <v>83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D1F75-B185-45AE-BDCF-E2F85902C774}">
  <dimension ref="A1:K53"/>
  <sheetViews>
    <sheetView tabSelected="1" zoomScale="64" zoomScaleNormal="40" workbookViewId="0">
      <selection activeCell="K8" sqref="K8"/>
    </sheetView>
  </sheetViews>
  <sheetFormatPr defaultRowHeight="14.4" x14ac:dyDescent="0.3"/>
  <cols>
    <col min="1" max="1" width="11.109375" customWidth="1"/>
    <col min="2" max="2" width="30.44140625" bestFit="1" customWidth="1"/>
    <col min="3" max="3" width="11.21875" customWidth="1"/>
    <col min="4" max="4" width="25.33203125" customWidth="1"/>
    <col min="5" max="5" width="21.77734375" customWidth="1"/>
    <col min="6" max="6" width="17.5546875" customWidth="1"/>
    <col min="7" max="7" width="11.21875" customWidth="1"/>
    <col min="8" max="8" width="14.21875" customWidth="1"/>
    <col min="9" max="9" width="18" customWidth="1"/>
    <col min="10" max="10" width="10.77734375" customWidth="1"/>
    <col min="11" max="11" width="38.88671875" customWidth="1"/>
  </cols>
  <sheetData>
    <row r="1" spans="1:11" ht="77.400000000000006" thickBot="1" x14ac:dyDescent="0.35">
      <c r="A1" s="37" t="s">
        <v>84</v>
      </c>
      <c r="B1" s="38" t="s">
        <v>85</v>
      </c>
      <c r="C1" s="38" t="s">
        <v>86</v>
      </c>
      <c r="D1" s="38" t="s">
        <v>87</v>
      </c>
      <c r="E1" s="39" t="s">
        <v>88</v>
      </c>
      <c r="F1" s="39" t="s">
        <v>89</v>
      </c>
      <c r="G1" s="39" t="s">
        <v>90</v>
      </c>
      <c r="H1" s="39" t="s">
        <v>91</v>
      </c>
      <c r="I1" s="38" t="s">
        <v>92</v>
      </c>
      <c r="J1" s="40" t="s">
        <v>93</v>
      </c>
      <c r="K1" s="41" t="s">
        <v>94</v>
      </c>
    </row>
    <row r="2" spans="1:11" ht="57.6" x14ac:dyDescent="0.3">
      <c r="A2" s="30" t="s">
        <v>0</v>
      </c>
      <c r="B2" s="27" t="s">
        <v>1</v>
      </c>
      <c r="C2" s="27" t="s">
        <v>2</v>
      </c>
      <c r="D2" s="27" t="s">
        <v>3</v>
      </c>
      <c r="E2" s="28" t="s">
        <v>4</v>
      </c>
      <c r="F2" s="28" t="s">
        <v>5</v>
      </c>
      <c r="G2" s="28" t="s">
        <v>6</v>
      </c>
      <c r="H2" s="28" t="s">
        <v>6</v>
      </c>
      <c r="I2" s="27" t="s">
        <v>3</v>
      </c>
      <c r="J2" s="29">
        <f>(E2+F2+G2+H2)/4</f>
        <v>4</v>
      </c>
      <c r="K2" s="35" t="s">
        <v>7</v>
      </c>
    </row>
    <row r="3" spans="1:11" ht="19.2" x14ac:dyDescent="0.3">
      <c r="A3" s="31" t="s">
        <v>0</v>
      </c>
      <c r="B3" s="3" t="s">
        <v>1</v>
      </c>
      <c r="C3" s="3" t="s">
        <v>8</v>
      </c>
      <c r="D3" s="3" t="s">
        <v>3</v>
      </c>
      <c r="E3" s="4" t="s">
        <v>4</v>
      </c>
      <c r="F3" s="4" t="s">
        <v>5</v>
      </c>
      <c r="G3" s="4" t="s">
        <v>6</v>
      </c>
      <c r="H3" s="4" t="s">
        <v>6</v>
      </c>
      <c r="I3" s="3" t="s">
        <v>3</v>
      </c>
      <c r="J3" s="5">
        <f>(E3+F3+G3+H3)/4</f>
        <v>4</v>
      </c>
      <c r="K3" s="22" t="s">
        <v>9</v>
      </c>
    </row>
    <row r="4" spans="1:11" ht="38.4" x14ac:dyDescent="0.3">
      <c r="A4" s="32" t="s">
        <v>0</v>
      </c>
      <c r="B4" s="1" t="s">
        <v>1</v>
      </c>
      <c r="C4" s="1" t="s">
        <v>10</v>
      </c>
      <c r="D4" s="1" t="s">
        <v>3</v>
      </c>
      <c r="E4" s="6" t="s">
        <v>6</v>
      </c>
      <c r="F4" s="6" t="s">
        <v>5</v>
      </c>
      <c r="G4" s="6" t="s">
        <v>5</v>
      </c>
      <c r="H4" s="6" t="s">
        <v>5</v>
      </c>
      <c r="I4" s="1" t="s">
        <v>3</v>
      </c>
      <c r="J4" s="2">
        <f t="shared" ref="J4:J53" si="0">(E4+F4+G4+H4)/4</f>
        <v>4.75</v>
      </c>
      <c r="K4" s="36" t="s">
        <v>11</v>
      </c>
    </row>
    <row r="5" spans="1:11" ht="19.2" x14ac:dyDescent="0.3">
      <c r="A5" s="31" t="s">
        <v>0</v>
      </c>
      <c r="B5" s="3" t="s">
        <v>1</v>
      </c>
      <c r="C5" s="3" t="s">
        <v>12</v>
      </c>
      <c r="D5" s="3" t="s">
        <v>13</v>
      </c>
      <c r="E5" s="4" t="s">
        <v>5</v>
      </c>
      <c r="F5" s="4" t="s">
        <v>5</v>
      </c>
      <c r="G5" s="4" t="s">
        <v>5</v>
      </c>
      <c r="H5" s="4" t="s">
        <v>5</v>
      </c>
      <c r="I5" s="3" t="s">
        <v>3</v>
      </c>
      <c r="J5" s="5">
        <f t="shared" si="0"/>
        <v>5</v>
      </c>
      <c r="K5" s="22" t="s">
        <v>14</v>
      </c>
    </row>
    <row r="6" spans="1:11" ht="38.4" x14ac:dyDescent="0.3">
      <c r="A6" s="32" t="s">
        <v>15</v>
      </c>
      <c r="B6" s="1" t="s">
        <v>1</v>
      </c>
      <c r="C6" s="1" t="s">
        <v>2</v>
      </c>
      <c r="D6" s="1" t="s">
        <v>3</v>
      </c>
      <c r="E6" s="6" t="s">
        <v>4</v>
      </c>
      <c r="F6" s="6" t="s">
        <v>6</v>
      </c>
      <c r="G6" s="6" t="s">
        <v>6</v>
      </c>
      <c r="H6" s="6" t="s">
        <v>6</v>
      </c>
      <c r="I6" s="1" t="s">
        <v>3</v>
      </c>
      <c r="J6" s="2">
        <f t="shared" si="0"/>
        <v>3.75</v>
      </c>
      <c r="K6" s="36" t="s">
        <v>16</v>
      </c>
    </row>
    <row r="7" spans="1:11" ht="38.4" x14ac:dyDescent="0.3">
      <c r="A7" s="31" t="s">
        <v>15</v>
      </c>
      <c r="B7" s="3" t="s">
        <v>1</v>
      </c>
      <c r="C7" s="3" t="s">
        <v>8</v>
      </c>
      <c r="D7" s="3" t="s">
        <v>3</v>
      </c>
      <c r="E7" s="4" t="s">
        <v>4</v>
      </c>
      <c r="F7" s="4" t="s">
        <v>5</v>
      </c>
      <c r="G7" s="4" t="s">
        <v>6</v>
      </c>
      <c r="H7" s="4" t="s">
        <v>6</v>
      </c>
      <c r="I7" s="3" t="s">
        <v>3</v>
      </c>
      <c r="J7" s="5">
        <f t="shared" si="0"/>
        <v>4</v>
      </c>
      <c r="K7" s="22" t="s">
        <v>17</v>
      </c>
    </row>
    <row r="8" spans="1:11" ht="38.4" x14ac:dyDescent="0.3">
      <c r="A8" s="32" t="s">
        <v>15</v>
      </c>
      <c r="B8" s="1" t="s">
        <v>1</v>
      </c>
      <c r="C8" s="1" t="s">
        <v>10</v>
      </c>
      <c r="D8" s="1" t="s">
        <v>3</v>
      </c>
      <c r="E8" s="6" t="s">
        <v>4</v>
      </c>
      <c r="F8" s="6" t="s">
        <v>5</v>
      </c>
      <c r="G8" s="6" t="s">
        <v>6</v>
      </c>
      <c r="H8" s="6" t="s">
        <v>6</v>
      </c>
      <c r="I8" s="1" t="s">
        <v>3</v>
      </c>
      <c r="J8" s="2">
        <f t="shared" si="0"/>
        <v>4</v>
      </c>
      <c r="K8" s="36" t="s">
        <v>18</v>
      </c>
    </row>
    <row r="9" spans="1:11" ht="19.2" x14ac:dyDescent="0.3">
      <c r="A9" s="31" t="s">
        <v>15</v>
      </c>
      <c r="B9" s="3" t="s">
        <v>1</v>
      </c>
      <c r="C9" s="3" t="s">
        <v>12</v>
      </c>
      <c r="D9" s="3" t="s">
        <v>13</v>
      </c>
      <c r="E9" s="4" t="s">
        <v>5</v>
      </c>
      <c r="F9" s="4" t="s">
        <v>5</v>
      </c>
      <c r="G9" s="4" t="s">
        <v>5</v>
      </c>
      <c r="H9" s="4" t="s">
        <v>5</v>
      </c>
      <c r="I9" s="3" t="s">
        <v>3</v>
      </c>
      <c r="J9" s="5">
        <f t="shared" si="0"/>
        <v>5</v>
      </c>
      <c r="K9" s="22" t="s">
        <v>19</v>
      </c>
    </row>
    <row r="10" spans="1:11" ht="38.4" x14ac:dyDescent="0.3">
      <c r="A10" s="32" t="s">
        <v>20</v>
      </c>
      <c r="B10" s="1" t="s">
        <v>1</v>
      </c>
      <c r="C10" s="1" t="s">
        <v>2</v>
      </c>
      <c r="D10" s="1" t="s">
        <v>3</v>
      </c>
      <c r="E10" s="6" t="s">
        <v>4</v>
      </c>
      <c r="F10" s="6" t="s">
        <v>6</v>
      </c>
      <c r="G10" s="6" t="s">
        <v>6</v>
      </c>
      <c r="H10" s="6" t="s">
        <v>6</v>
      </c>
      <c r="I10" s="1" t="s">
        <v>3</v>
      </c>
      <c r="J10" s="2">
        <f t="shared" si="0"/>
        <v>3.75</v>
      </c>
      <c r="K10" s="36" t="s">
        <v>21</v>
      </c>
    </row>
    <row r="11" spans="1:11" ht="38.4" x14ac:dyDescent="0.3">
      <c r="A11" s="31" t="s">
        <v>20</v>
      </c>
      <c r="B11" s="3" t="s">
        <v>1</v>
      </c>
      <c r="C11" s="3" t="s">
        <v>8</v>
      </c>
      <c r="D11" s="3" t="s">
        <v>3</v>
      </c>
      <c r="E11" s="4" t="s">
        <v>6</v>
      </c>
      <c r="F11" s="4" t="s">
        <v>5</v>
      </c>
      <c r="G11" s="4" t="s">
        <v>5</v>
      </c>
      <c r="H11" s="4" t="s">
        <v>5</v>
      </c>
      <c r="I11" s="3" t="s">
        <v>3</v>
      </c>
      <c r="J11" s="5">
        <f>(E11+F11+G11+H11)/4</f>
        <v>4.75</v>
      </c>
      <c r="K11" s="22" t="s">
        <v>22</v>
      </c>
    </row>
    <row r="12" spans="1:11" ht="38.4" x14ac:dyDescent="0.3">
      <c r="A12" s="32" t="s">
        <v>20</v>
      </c>
      <c r="B12" s="1" t="s">
        <v>1</v>
      </c>
      <c r="C12" s="1" t="s">
        <v>10</v>
      </c>
      <c r="D12" s="1" t="s">
        <v>3</v>
      </c>
      <c r="E12" s="6" t="s">
        <v>4</v>
      </c>
      <c r="F12" s="6" t="s">
        <v>5</v>
      </c>
      <c r="G12" s="6" t="s">
        <v>6</v>
      </c>
      <c r="H12" s="6" t="s">
        <v>6</v>
      </c>
      <c r="I12" s="1" t="s">
        <v>3</v>
      </c>
      <c r="J12" s="2">
        <f t="shared" si="0"/>
        <v>4</v>
      </c>
      <c r="K12" s="36" t="s">
        <v>23</v>
      </c>
    </row>
    <row r="13" spans="1:11" ht="19.2" x14ac:dyDescent="0.3">
      <c r="A13" s="31" t="s">
        <v>20</v>
      </c>
      <c r="B13" s="3" t="s">
        <v>1</v>
      </c>
      <c r="C13" s="3" t="s">
        <v>12</v>
      </c>
      <c r="D13" s="3" t="s">
        <v>13</v>
      </c>
      <c r="E13" s="4" t="s">
        <v>5</v>
      </c>
      <c r="F13" s="4" t="s">
        <v>5</v>
      </c>
      <c r="G13" s="4" t="s">
        <v>5</v>
      </c>
      <c r="H13" s="4" t="s">
        <v>5</v>
      </c>
      <c r="I13" s="3" t="s">
        <v>3</v>
      </c>
      <c r="J13" s="5">
        <f t="shared" si="0"/>
        <v>5</v>
      </c>
      <c r="K13" s="22" t="s">
        <v>24</v>
      </c>
    </row>
    <row r="14" spans="1:11" ht="38.4" x14ac:dyDescent="0.3">
      <c r="A14" s="32" t="s">
        <v>25</v>
      </c>
      <c r="B14" s="1" t="s">
        <v>1</v>
      </c>
      <c r="C14" s="1" t="s">
        <v>2</v>
      </c>
      <c r="D14" s="1" t="s">
        <v>3</v>
      </c>
      <c r="E14" s="6" t="s">
        <v>4</v>
      </c>
      <c r="F14" s="6" t="s">
        <v>6</v>
      </c>
      <c r="G14" s="6" t="s">
        <v>6</v>
      </c>
      <c r="H14" s="6" t="s">
        <v>6</v>
      </c>
      <c r="I14" s="1" t="s">
        <v>3</v>
      </c>
      <c r="J14" s="2">
        <f t="shared" si="0"/>
        <v>3.75</v>
      </c>
      <c r="K14" s="36" t="s">
        <v>26</v>
      </c>
    </row>
    <row r="15" spans="1:11" ht="38.4" x14ac:dyDescent="0.3">
      <c r="A15" s="31" t="s">
        <v>25</v>
      </c>
      <c r="B15" s="3" t="s">
        <v>1</v>
      </c>
      <c r="C15" s="3" t="s">
        <v>8</v>
      </c>
      <c r="D15" s="3" t="s">
        <v>3</v>
      </c>
      <c r="E15" s="4" t="s">
        <v>4</v>
      </c>
      <c r="F15" s="4" t="s">
        <v>5</v>
      </c>
      <c r="G15" s="4" t="s">
        <v>6</v>
      </c>
      <c r="H15" s="4" t="s">
        <v>6</v>
      </c>
      <c r="I15" s="3" t="s">
        <v>3</v>
      </c>
      <c r="J15" s="5">
        <f t="shared" si="0"/>
        <v>4</v>
      </c>
      <c r="K15" s="22" t="s">
        <v>27</v>
      </c>
    </row>
    <row r="16" spans="1:11" ht="38.4" x14ac:dyDescent="0.3">
      <c r="A16" s="32" t="s">
        <v>25</v>
      </c>
      <c r="B16" s="1" t="s">
        <v>1</v>
      </c>
      <c r="C16" s="1" t="s">
        <v>10</v>
      </c>
      <c r="D16" s="1" t="s">
        <v>3</v>
      </c>
      <c r="E16" s="6" t="s">
        <v>4</v>
      </c>
      <c r="F16" s="6" t="s">
        <v>5</v>
      </c>
      <c r="G16" s="6" t="s">
        <v>6</v>
      </c>
      <c r="H16" s="6" t="s">
        <v>6</v>
      </c>
      <c r="I16" s="1" t="s">
        <v>3</v>
      </c>
      <c r="J16" s="2">
        <f t="shared" si="0"/>
        <v>4</v>
      </c>
      <c r="K16" s="36" t="s">
        <v>28</v>
      </c>
    </row>
    <row r="17" spans="1:11" ht="38.4" x14ac:dyDescent="0.3">
      <c r="A17" s="31" t="s">
        <v>25</v>
      </c>
      <c r="B17" s="3" t="s">
        <v>1</v>
      </c>
      <c r="C17" s="3" t="s">
        <v>12</v>
      </c>
      <c r="D17" s="3" t="s">
        <v>13</v>
      </c>
      <c r="E17" s="4" t="s">
        <v>5</v>
      </c>
      <c r="F17" s="4" t="s">
        <v>5</v>
      </c>
      <c r="G17" s="4" t="s">
        <v>5</v>
      </c>
      <c r="H17" s="4" t="s">
        <v>5</v>
      </c>
      <c r="I17" s="3" t="s">
        <v>3</v>
      </c>
      <c r="J17" s="5">
        <f t="shared" si="0"/>
        <v>5</v>
      </c>
      <c r="K17" s="22" t="s">
        <v>29</v>
      </c>
    </row>
    <row r="18" spans="1:11" ht="38.4" x14ac:dyDescent="0.3">
      <c r="A18" s="32" t="s">
        <v>30</v>
      </c>
      <c r="B18" s="1" t="s">
        <v>31</v>
      </c>
      <c r="C18" s="1" t="s">
        <v>2</v>
      </c>
      <c r="D18" s="1" t="s">
        <v>3</v>
      </c>
      <c r="E18" s="6" t="s">
        <v>6</v>
      </c>
      <c r="F18" s="6" t="s">
        <v>5</v>
      </c>
      <c r="G18" s="6" t="s">
        <v>5</v>
      </c>
      <c r="H18" s="6" t="s">
        <v>5</v>
      </c>
      <c r="I18" s="1" t="s">
        <v>3</v>
      </c>
      <c r="J18" s="2">
        <f t="shared" si="0"/>
        <v>4.75</v>
      </c>
      <c r="K18" s="36" t="s">
        <v>32</v>
      </c>
    </row>
    <row r="19" spans="1:11" ht="38.4" x14ac:dyDescent="0.3">
      <c r="A19" s="31" t="s">
        <v>30</v>
      </c>
      <c r="B19" s="3" t="s">
        <v>31</v>
      </c>
      <c r="C19" s="3" t="s">
        <v>8</v>
      </c>
      <c r="D19" s="3" t="s">
        <v>3</v>
      </c>
      <c r="E19" s="4" t="s">
        <v>6</v>
      </c>
      <c r="F19" s="4" t="s">
        <v>5</v>
      </c>
      <c r="G19" s="4" t="s">
        <v>5</v>
      </c>
      <c r="H19" s="4" t="s">
        <v>5</v>
      </c>
      <c r="I19" s="3" t="s">
        <v>3</v>
      </c>
      <c r="J19" s="5">
        <f t="shared" si="0"/>
        <v>4.75</v>
      </c>
      <c r="K19" s="22" t="s">
        <v>95</v>
      </c>
    </row>
    <row r="20" spans="1:11" ht="38.4" x14ac:dyDescent="0.3">
      <c r="A20" s="32" t="s">
        <v>30</v>
      </c>
      <c r="B20" s="1" t="s">
        <v>31</v>
      </c>
      <c r="C20" s="1" t="s">
        <v>10</v>
      </c>
      <c r="D20" s="1" t="s">
        <v>3</v>
      </c>
      <c r="E20" s="6" t="s">
        <v>6</v>
      </c>
      <c r="F20" s="6" t="s">
        <v>5</v>
      </c>
      <c r="G20" s="6" t="s">
        <v>5</v>
      </c>
      <c r="H20" s="6" t="s">
        <v>5</v>
      </c>
      <c r="I20" s="1" t="s">
        <v>3</v>
      </c>
      <c r="J20" s="2">
        <f t="shared" si="0"/>
        <v>4.75</v>
      </c>
      <c r="K20" s="36" t="s">
        <v>33</v>
      </c>
    </row>
    <row r="21" spans="1:11" ht="19.2" x14ac:dyDescent="0.3">
      <c r="A21" s="31" t="s">
        <v>30</v>
      </c>
      <c r="B21" s="3" t="s">
        <v>31</v>
      </c>
      <c r="C21" s="3" t="s">
        <v>12</v>
      </c>
      <c r="D21" s="3" t="s">
        <v>13</v>
      </c>
      <c r="E21" s="4" t="s">
        <v>5</v>
      </c>
      <c r="F21" s="4" t="s">
        <v>5</v>
      </c>
      <c r="G21" s="4" t="s">
        <v>5</v>
      </c>
      <c r="H21" s="4" t="s">
        <v>5</v>
      </c>
      <c r="I21" s="3" t="s">
        <v>3</v>
      </c>
      <c r="J21" s="5">
        <f t="shared" si="0"/>
        <v>5</v>
      </c>
      <c r="K21" s="22" t="s">
        <v>24</v>
      </c>
    </row>
    <row r="22" spans="1:11" ht="38.4" x14ac:dyDescent="0.3">
      <c r="A22" s="32" t="s">
        <v>34</v>
      </c>
      <c r="B22" s="1" t="s">
        <v>31</v>
      </c>
      <c r="C22" s="1" t="s">
        <v>2</v>
      </c>
      <c r="D22" s="1" t="s">
        <v>3</v>
      </c>
      <c r="E22" s="6" t="s">
        <v>6</v>
      </c>
      <c r="F22" s="6" t="s">
        <v>5</v>
      </c>
      <c r="G22" s="6" t="s">
        <v>5</v>
      </c>
      <c r="H22" s="6" t="s">
        <v>5</v>
      </c>
      <c r="I22" s="1" t="s">
        <v>3</v>
      </c>
      <c r="J22" s="2">
        <f t="shared" si="0"/>
        <v>4.75</v>
      </c>
      <c r="K22" s="36" t="s">
        <v>35</v>
      </c>
    </row>
    <row r="23" spans="1:11" ht="38.4" x14ac:dyDescent="0.3">
      <c r="A23" s="31" t="s">
        <v>34</v>
      </c>
      <c r="B23" s="3" t="s">
        <v>31</v>
      </c>
      <c r="C23" s="3" t="s">
        <v>8</v>
      </c>
      <c r="D23" s="3" t="s">
        <v>3</v>
      </c>
      <c r="E23" s="4" t="s">
        <v>6</v>
      </c>
      <c r="F23" s="4" t="s">
        <v>5</v>
      </c>
      <c r="G23" s="4" t="s">
        <v>5</v>
      </c>
      <c r="H23" s="4" t="s">
        <v>5</v>
      </c>
      <c r="I23" s="3" t="s">
        <v>3</v>
      </c>
      <c r="J23" s="5">
        <f t="shared" si="0"/>
        <v>4.75</v>
      </c>
      <c r="K23" s="22" t="s">
        <v>36</v>
      </c>
    </row>
    <row r="24" spans="1:11" ht="38.4" x14ac:dyDescent="0.3">
      <c r="A24" s="32" t="s">
        <v>34</v>
      </c>
      <c r="B24" s="1" t="s">
        <v>31</v>
      </c>
      <c r="C24" s="1" t="s">
        <v>10</v>
      </c>
      <c r="D24" s="1" t="s">
        <v>3</v>
      </c>
      <c r="E24" s="6" t="s">
        <v>6</v>
      </c>
      <c r="F24" s="6" t="s">
        <v>5</v>
      </c>
      <c r="G24" s="6" t="s">
        <v>5</v>
      </c>
      <c r="H24" s="6" t="s">
        <v>5</v>
      </c>
      <c r="I24" s="1" t="s">
        <v>3</v>
      </c>
      <c r="J24" s="2">
        <f t="shared" si="0"/>
        <v>4.75</v>
      </c>
      <c r="K24" s="36" t="s">
        <v>37</v>
      </c>
    </row>
    <row r="25" spans="1:11" ht="19.2" x14ac:dyDescent="0.3">
      <c r="A25" s="31" t="s">
        <v>34</v>
      </c>
      <c r="B25" s="3" t="s">
        <v>31</v>
      </c>
      <c r="C25" s="3" t="s">
        <v>12</v>
      </c>
      <c r="D25" s="3" t="s">
        <v>13</v>
      </c>
      <c r="E25" s="4" t="s">
        <v>5</v>
      </c>
      <c r="F25" s="4" t="s">
        <v>5</v>
      </c>
      <c r="G25" s="4" t="s">
        <v>5</v>
      </c>
      <c r="H25" s="4" t="s">
        <v>5</v>
      </c>
      <c r="I25" s="3" t="s">
        <v>3</v>
      </c>
      <c r="J25" s="5">
        <f t="shared" si="0"/>
        <v>5</v>
      </c>
      <c r="K25" s="22" t="s">
        <v>38</v>
      </c>
    </row>
    <row r="26" spans="1:11" ht="38.4" x14ac:dyDescent="0.3">
      <c r="A26" s="32" t="s">
        <v>39</v>
      </c>
      <c r="B26" s="1" t="s">
        <v>31</v>
      </c>
      <c r="C26" s="1" t="s">
        <v>2</v>
      </c>
      <c r="D26" s="1" t="s">
        <v>3</v>
      </c>
      <c r="E26" s="6" t="s">
        <v>4</v>
      </c>
      <c r="F26" s="6" t="s">
        <v>6</v>
      </c>
      <c r="G26" s="6" t="s">
        <v>6</v>
      </c>
      <c r="H26" s="6" t="s">
        <v>6</v>
      </c>
      <c r="I26" s="1" t="s">
        <v>3</v>
      </c>
      <c r="J26" s="2">
        <f t="shared" si="0"/>
        <v>3.75</v>
      </c>
      <c r="K26" s="36" t="s">
        <v>40</v>
      </c>
    </row>
    <row r="27" spans="1:11" ht="19.2" x14ac:dyDescent="0.3">
      <c r="A27" s="31" t="s">
        <v>39</v>
      </c>
      <c r="B27" s="3" t="s">
        <v>31</v>
      </c>
      <c r="C27" s="3" t="s">
        <v>8</v>
      </c>
      <c r="D27" s="3" t="s">
        <v>3</v>
      </c>
      <c r="E27" s="4" t="s">
        <v>4</v>
      </c>
      <c r="F27" s="4" t="s">
        <v>6</v>
      </c>
      <c r="G27" s="4" t="s">
        <v>6</v>
      </c>
      <c r="H27" s="4" t="s">
        <v>6</v>
      </c>
      <c r="I27" s="3" t="s">
        <v>3</v>
      </c>
      <c r="J27" s="5">
        <f t="shared" si="0"/>
        <v>3.75</v>
      </c>
      <c r="K27" s="22" t="s">
        <v>41</v>
      </c>
    </row>
    <row r="28" spans="1:11" ht="19.2" x14ac:dyDescent="0.3">
      <c r="A28" s="32" t="s">
        <v>39</v>
      </c>
      <c r="B28" s="1" t="s">
        <v>31</v>
      </c>
      <c r="C28" s="1" t="s">
        <v>10</v>
      </c>
      <c r="D28" s="1" t="s">
        <v>3</v>
      </c>
      <c r="E28" s="6" t="s">
        <v>4</v>
      </c>
      <c r="F28" s="6" t="s">
        <v>6</v>
      </c>
      <c r="G28" s="6" t="s">
        <v>6</v>
      </c>
      <c r="H28" s="6" t="s">
        <v>6</v>
      </c>
      <c r="I28" s="1" t="s">
        <v>3</v>
      </c>
      <c r="J28" s="2">
        <f t="shared" si="0"/>
        <v>3.75</v>
      </c>
      <c r="K28" s="36" t="s">
        <v>42</v>
      </c>
    </row>
    <row r="29" spans="1:11" ht="38.4" x14ac:dyDescent="0.3">
      <c r="A29" s="31" t="s">
        <v>39</v>
      </c>
      <c r="B29" s="3" t="s">
        <v>31</v>
      </c>
      <c r="C29" s="3" t="s">
        <v>12</v>
      </c>
      <c r="D29" s="3" t="s">
        <v>13</v>
      </c>
      <c r="E29" s="4" t="s">
        <v>5</v>
      </c>
      <c r="F29" s="4" t="s">
        <v>5</v>
      </c>
      <c r="G29" s="4" t="s">
        <v>5</v>
      </c>
      <c r="H29" s="4" t="s">
        <v>5</v>
      </c>
      <c r="I29" s="3" t="s">
        <v>3</v>
      </c>
      <c r="J29" s="5">
        <f t="shared" si="0"/>
        <v>5</v>
      </c>
      <c r="K29" s="22" t="s">
        <v>43</v>
      </c>
    </row>
    <row r="30" spans="1:11" ht="38.4" x14ac:dyDescent="0.3">
      <c r="A30" s="32" t="s">
        <v>44</v>
      </c>
      <c r="B30" s="1" t="s">
        <v>31</v>
      </c>
      <c r="C30" s="1" t="s">
        <v>2</v>
      </c>
      <c r="D30" s="1" t="s">
        <v>3</v>
      </c>
      <c r="E30" s="6" t="s">
        <v>4</v>
      </c>
      <c r="F30" s="6" t="s">
        <v>6</v>
      </c>
      <c r="G30" s="6" t="s">
        <v>6</v>
      </c>
      <c r="H30" s="6" t="s">
        <v>6</v>
      </c>
      <c r="I30" s="1" t="s">
        <v>3</v>
      </c>
      <c r="J30" s="2">
        <f t="shared" si="0"/>
        <v>3.75</v>
      </c>
      <c r="K30" s="36" t="s">
        <v>45</v>
      </c>
    </row>
    <row r="31" spans="1:11" ht="19.2" x14ac:dyDescent="0.3">
      <c r="A31" s="31" t="s">
        <v>44</v>
      </c>
      <c r="B31" s="3" t="s">
        <v>31</v>
      </c>
      <c r="C31" s="3" t="s">
        <v>8</v>
      </c>
      <c r="D31" s="3" t="s">
        <v>3</v>
      </c>
      <c r="E31" s="4" t="s">
        <v>4</v>
      </c>
      <c r="F31" s="4" t="s">
        <v>6</v>
      </c>
      <c r="G31" s="4" t="s">
        <v>6</v>
      </c>
      <c r="H31" s="4" t="s">
        <v>6</v>
      </c>
      <c r="I31" s="3" t="s">
        <v>3</v>
      </c>
      <c r="J31" s="5">
        <f t="shared" si="0"/>
        <v>3.75</v>
      </c>
      <c r="K31" s="22" t="s">
        <v>46</v>
      </c>
    </row>
    <row r="32" spans="1:11" ht="38.4" x14ac:dyDescent="0.3">
      <c r="A32" s="32" t="s">
        <v>44</v>
      </c>
      <c r="B32" s="1" t="s">
        <v>31</v>
      </c>
      <c r="C32" s="1" t="s">
        <v>10</v>
      </c>
      <c r="D32" s="1" t="s">
        <v>3</v>
      </c>
      <c r="E32" s="6" t="s">
        <v>4</v>
      </c>
      <c r="F32" s="6" t="s">
        <v>6</v>
      </c>
      <c r="G32" s="6" t="s">
        <v>6</v>
      </c>
      <c r="H32" s="6" t="s">
        <v>6</v>
      </c>
      <c r="I32" s="1" t="s">
        <v>3</v>
      </c>
      <c r="J32" s="2">
        <f t="shared" si="0"/>
        <v>3.75</v>
      </c>
      <c r="K32" s="36" t="s">
        <v>47</v>
      </c>
    </row>
    <row r="33" spans="1:11" ht="19.2" x14ac:dyDescent="0.3">
      <c r="A33" s="31" t="s">
        <v>44</v>
      </c>
      <c r="B33" s="3" t="s">
        <v>31</v>
      </c>
      <c r="C33" s="3" t="s">
        <v>12</v>
      </c>
      <c r="D33" s="3" t="s">
        <v>13</v>
      </c>
      <c r="E33" s="4" t="s">
        <v>5</v>
      </c>
      <c r="F33" s="4" t="s">
        <v>5</v>
      </c>
      <c r="G33" s="4" t="s">
        <v>5</v>
      </c>
      <c r="H33" s="4" t="s">
        <v>5</v>
      </c>
      <c r="I33" s="3" t="s">
        <v>3</v>
      </c>
      <c r="J33" s="5">
        <f t="shared" si="0"/>
        <v>5</v>
      </c>
      <c r="K33" s="22" t="s">
        <v>48</v>
      </c>
    </row>
    <row r="34" spans="1:11" ht="38.4" x14ac:dyDescent="0.3">
      <c r="A34" s="33" t="s">
        <v>49</v>
      </c>
      <c r="B34" s="7" t="s">
        <v>50</v>
      </c>
      <c r="C34" s="7" t="s">
        <v>2</v>
      </c>
      <c r="D34" s="7" t="s">
        <v>3</v>
      </c>
      <c r="E34" s="8" t="s">
        <v>4</v>
      </c>
      <c r="F34" s="8" t="s">
        <v>6</v>
      </c>
      <c r="G34" s="8" t="s">
        <v>6</v>
      </c>
      <c r="H34" s="8" t="s">
        <v>6</v>
      </c>
      <c r="I34" s="7" t="s">
        <v>3</v>
      </c>
      <c r="J34" s="2">
        <f t="shared" si="0"/>
        <v>3.75</v>
      </c>
      <c r="K34" s="36" t="s">
        <v>51</v>
      </c>
    </row>
    <row r="35" spans="1:11" ht="38.4" x14ac:dyDescent="0.3">
      <c r="A35" s="34" t="s">
        <v>49</v>
      </c>
      <c r="B35" s="9" t="s">
        <v>50</v>
      </c>
      <c r="C35" s="9" t="s">
        <v>8</v>
      </c>
      <c r="D35" s="9" t="s">
        <v>3</v>
      </c>
      <c r="E35" s="10" t="s">
        <v>4</v>
      </c>
      <c r="F35" s="10" t="s">
        <v>6</v>
      </c>
      <c r="G35" s="10" t="s">
        <v>6</v>
      </c>
      <c r="H35" s="10" t="s">
        <v>6</v>
      </c>
      <c r="I35" s="9" t="s">
        <v>3</v>
      </c>
      <c r="J35" s="5">
        <f t="shared" si="0"/>
        <v>3.75</v>
      </c>
      <c r="K35" s="22" t="s">
        <v>52</v>
      </c>
    </row>
    <row r="36" spans="1:11" ht="38.4" x14ac:dyDescent="0.3">
      <c r="A36" s="33" t="s">
        <v>49</v>
      </c>
      <c r="B36" s="7" t="s">
        <v>50</v>
      </c>
      <c r="C36" s="7" t="s">
        <v>10</v>
      </c>
      <c r="D36" s="7" t="s">
        <v>3</v>
      </c>
      <c r="E36" s="8" t="s">
        <v>4</v>
      </c>
      <c r="F36" s="8" t="s">
        <v>6</v>
      </c>
      <c r="G36" s="8" t="s">
        <v>6</v>
      </c>
      <c r="H36" s="8" t="s">
        <v>6</v>
      </c>
      <c r="I36" s="7" t="s">
        <v>3</v>
      </c>
      <c r="J36" s="2">
        <f t="shared" si="0"/>
        <v>3.75</v>
      </c>
      <c r="K36" s="36" t="s">
        <v>53</v>
      </c>
    </row>
    <row r="37" spans="1:11" ht="19.2" x14ac:dyDescent="0.3">
      <c r="A37" s="34" t="s">
        <v>49</v>
      </c>
      <c r="B37" s="9" t="s">
        <v>50</v>
      </c>
      <c r="C37" s="9" t="s">
        <v>12</v>
      </c>
      <c r="D37" s="9" t="s">
        <v>13</v>
      </c>
      <c r="E37" s="4" t="s">
        <v>5</v>
      </c>
      <c r="F37" s="4" t="s">
        <v>5</v>
      </c>
      <c r="G37" s="4" t="s">
        <v>5</v>
      </c>
      <c r="H37" s="4" t="s">
        <v>5</v>
      </c>
      <c r="I37" s="9" t="s">
        <v>3</v>
      </c>
      <c r="J37" s="5">
        <f t="shared" si="0"/>
        <v>5</v>
      </c>
      <c r="K37" s="22" t="s">
        <v>54</v>
      </c>
    </row>
    <row r="38" spans="1:11" ht="57.6" x14ac:dyDescent="0.3">
      <c r="A38" s="33" t="s">
        <v>55</v>
      </c>
      <c r="B38" s="7" t="s">
        <v>50</v>
      </c>
      <c r="C38" s="7" t="s">
        <v>2</v>
      </c>
      <c r="D38" s="7" t="s">
        <v>3</v>
      </c>
      <c r="E38" s="8" t="s">
        <v>4</v>
      </c>
      <c r="F38" s="8" t="s">
        <v>6</v>
      </c>
      <c r="G38" s="8" t="s">
        <v>6</v>
      </c>
      <c r="H38" s="8" t="s">
        <v>6</v>
      </c>
      <c r="I38" s="7" t="s">
        <v>3</v>
      </c>
      <c r="J38" s="2">
        <f t="shared" si="0"/>
        <v>3.75</v>
      </c>
      <c r="K38" s="36" t="s">
        <v>56</v>
      </c>
    </row>
    <row r="39" spans="1:11" ht="38.4" x14ac:dyDescent="0.3">
      <c r="A39" s="34" t="s">
        <v>55</v>
      </c>
      <c r="B39" s="9" t="s">
        <v>50</v>
      </c>
      <c r="C39" s="9" t="s">
        <v>8</v>
      </c>
      <c r="D39" s="9" t="s">
        <v>3</v>
      </c>
      <c r="E39" s="10" t="s">
        <v>4</v>
      </c>
      <c r="F39" s="10" t="s">
        <v>6</v>
      </c>
      <c r="G39" s="10" t="s">
        <v>6</v>
      </c>
      <c r="H39" s="10" t="s">
        <v>6</v>
      </c>
      <c r="I39" s="9" t="s">
        <v>3</v>
      </c>
      <c r="J39" s="5">
        <f t="shared" si="0"/>
        <v>3.75</v>
      </c>
      <c r="K39" s="22" t="s">
        <v>57</v>
      </c>
    </row>
    <row r="40" spans="1:11" ht="38.4" x14ac:dyDescent="0.3">
      <c r="A40" s="33" t="s">
        <v>55</v>
      </c>
      <c r="B40" s="7" t="s">
        <v>50</v>
      </c>
      <c r="C40" s="7" t="s">
        <v>10</v>
      </c>
      <c r="D40" s="7" t="s">
        <v>3</v>
      </c>
      <c r="E40" s="8" t="s">
        <v>4</v>
      </c>
      <c r="F40" s="8" t="s">
        <v>6</v>
      </c>
      <c r="G40" s="8" t="s">
        <v>6</v>
      </c>
      <c r="H40" s="8" t="s">
        <v>6</v>
      </c>
      <c r="I40" s="7" t="s">
        <v>3</v>
      </c>
      <c r="J40" s="2">
        <f t="shared" si="0"/>
        <v>3.75</v>
      </c>
      <c r="K40" s="36" t="s">
        <v>58</v>
      </c>
    </row>
    <row r="41" spans="1:11" ht="19.2" x14ac:dyDescent="0.3">
      <c r="A41" s="34" t="s">
        <v>55</v>
      </c>
      <c r="B41" s="9" t="s">
        <v>50</v>
      </c>
      <c r="C41" s="9" t="s">
        <v>12</v>
      </c>
      <c r="D41" s="9" t="s">
        <v>13</v>
      </c>
      <c r="E41" s="4" t="s">
        <v>5</v>
      </c>
      <c r="F41" s="4" t="s">
        <v>5</v>
      </c>
      <c r="G41" s="4" t="s">
        <v>5</v>
      </c>
      <c r="H41" s="4" t="s">
        <v>5</v>
      </c>
      <c r="I41" s="9" t="s">
        <v>3</v>
      </c>
      <c r="J41" s="5">
        <f t="shared" si="0"/>
        <v>5</v>
      </c>
      <c r="K41" s="22" t="s">
        <v>59</v>
      </c>
    </row>
    <row r="42" spans="1:11" ht="38.4" x14ac:dyDescent="0.3">
      <c r="A42" s="33" t="s">
        <v>60</v>
      </c>
      <c r="B42" s="7" t="s">
        <v>50</v>
      </c>
      <c r="C42" s="7" t="s">
        <v>2</v>
      </c>
      <c r="D42" s="7" t="s">
        <v>3</v>
      </c>
      <c r="E42" s="8" t="s">
        <v>4</v>
      </c>
      <c r="F42" s="8" t="s">
        <v>6</v>
      </c>
      <c r="G42" s="8" t="s">
        <v>6</v>
      </c>
      <c r="H42" s="8" t="s">
        <v>6</v>
      </c>
      <c r="I42" s="7" t="s">
        <v>3</v>
      </c>
      <c r="J42" s="2">
        <f t="shared" si="0"/>
        <v>3.75</v>
      </c>
      <c r="K42" s="36" t="s">
        <v>61</v>
      </c>
    </row>
    <row r="43" spans="1:11" ht="38.4" x14ac:dyDescent="0.3">
      <c r="A43" s="34" t="s">
        <v>60</v>
      </c>
      <c r="B43" s="9" t="s">
        <v>50</v>
      </c>
      <c r="C43" s="9" t="s">
        <v>8</v>
      </c>
      <c r="D43" s="9" t="s">
        <v>3</v>
      </c>
      <c r="E43" s="10" t="s">
        <v>4</v>
      </c>
      <c r="F43" s="10" t="s">
        <v>6</v>
      </c>
      <c r="G43" s="10" t="s">
        <v>6</v>
      </c>
      <c r="H43" s="10" t="s">
        <v>6</v>
      </c>
      <c r="I43" s="9" t="s">
        <v>3</v>
      </c>
      <c r="J43" s="5">
        <f t="shared" si="0"/>
        <v>3.75</v>
      </c>
      <c r="K43" s="22" t="s">
        <v>62</v>
      </c>
    </row>
    <row r="44" spans="1:11" ht="38.4" x14ac:dyDescent="0.3">
      <c r="A44" s="33" t="s">
        <v>60</v>
      </c>
      <c r="B44" s="7" t="s">
        <v>50</v>
      </c>
      <c r="C44" s="7" t="s">
        <v>10</v>
      </c>
      <c r="D44" s="7" t="s">
        <v>3</v>
      </c>
      <c r="E44" s="8" t="s">
        <v>4</v>
      </c>
      <c r="F44" s="8" t="s">
        <v>6</v>
      </c>
      <c r="G44" s="8" t="s">
        <v>6</v>
      </c>
      <c r="H44" s="8" t="s">
        <v>6</v>
      </c>
      <c r="I44" s="7" t="s">
        <v>3</v>
      </c>
      <c r="J44" s="2">
        <f t="shared" si="0"/>
        <v>3.75</v>
      </c>
      <c r="K44" s="36" t="s">
        <v>63</v>
      </c>
    </row>
    <row r="45" spans="1:11" ht="19.2" x14ac:dyDescent="0.3">
      <c r="A45" s="34" t="s">
        <v>60</v>
      </c>
      <c r="B45" s="9" t="s">
        <v>50</v>
      </c>
      <c r="C45" s="9" t="s">
        <v>12</v>
      </c>
      <c r="D45" s="9" t="s">
        <v>13</v>
      </c>
      <c r="E45" s="4" t="s">
        <v>5</v>
      </c>
      <c r="F45" s="4" t="s">
        <v>5</v>
      </c>
      <c r="G45" s="4" t="s">
        <v>5</v>
      </c>
      <c r="H45" s="4" t="s">
        <v>5</v>
      </c>
      <c r="I45" s="9" t="s">
        <v>3</v>
      </c>
      <c r="J45" s="5">
        <f t="shared" si="0"/>
        <v>5</v>
      </c>
      <c r="K45" s="22" t="s">
        <v>64</v>
      </c>
    </row>
    <row r="46" spans="1:11" ht="38.4" x14ac:dyDescent="0.3">
      <c r="A46" s="33" t="s">
        <v>65</v>
      </c>
      <c r="B46" s="7" t="s">
        <v>50</v>
      </c>
      <c r="C46" s="7" t="s">
        <v>2</v>
      </c>
      <c r="D46" s="7" t="s">
        <v>3</v>
      </c>
      <c r="E46" s="8" t="s">
        <v>4</v>
      </c>
      <c r="F46" s="8" t="s">
        <v>6</v>
      </c>
      <c r="G46" s="8" t="s">
        <v>6</v>
      </c>
      <c r="H46" s="8" t="s">
        <v>6</v>
      </c>
      <c r="I46" s="7" t="s">
        <v>3</v>
      </c>
      <c r="J46" s="2">
        <f t="shared" si="0"/>
        <v>3.75</v>
      </c>
      <c r="K46" s="36" t="s">
        <v>66</v>
      </c>
    </row>
    <row r="47" spans="1:11" ht="38.4" x14ac:dyDescent="0.3">
      <c r="A47" s="34" t="s">
        <v>65</v>
      </c>
      <c r="B47" s="9" t="s">
        <v>50</v>
      </c>
      <c r="C47" s="9" t="s">
        <v>8</v>
      </c>
      <c r="D47" s="9" t="s">
        <v>3</v>
      </c>
      <c r="E47" s="10" t="s">
        <v>4</v>
      </c>
      <c r="F47" s="10" t="s">
        <v>6</v>
      </c>
      <c r="G47" s="10" t="s">
        <v>6</v>
      </c>
      <c r="H47" s="10" t="s">
        <v>6</v>
      </c>
      <c r="I47" s="9" t="s">
        <v>3</v>
      </c>
      <c r="J47" s="5">
        <f t="shared" si="0"/>
        <v>3.75</v>
      </c>
      <c r="K47" s="22" t="s">
        <v>67</v>
      </c>
    </row>
    <row r="48" spans="1:11" ht="57.6" x14ac:dyDescent="0.3">
      <c r="A48" s="33" t="s">
        <v>65</v>
      </c>
      <c r="B48" s="7" t="s">
        <v>50</v>
      </c>
      <c r="C48" s="7" t="s">
        <v>10</v>
      </c>
      <c r="D48" s="7" t="s">
        <v>3</v>
      </c>
      <c r="E48" s="8" t="s">
        <v>4</v>
      </c>
      <c r="F48" s="8" t="s">
        <v>6</v>
      </c>
      <c r="G48" s="8" t="s">
        <v>6</v>
      </c>
      <c r="H48" s="8" t="s">
        <v>6</v>
      </c>
      <c r="I48" s="7" t="s">
        <v>3</v>
      </c>
      <c r="J48" s="2">
        <f t="shared" si="0"/>
        <v>3.75</v>
      </c>
      <c r="K48" s="36" t="s">
        <v>68</v>
      </c>
    </row>
    <row r="49" spans="1:11" ht="19.2" x14ac:dyDescent="0.3">
      <c r="A49" s="34" t="s">
        <v>65</v>
      </c>
      <c r="B49" s="9" t="s">
        <v>50</v>
      </c>
      <c r="C49" s="9" t="s">
        <v>12</v>
      </c>
      <c r="D49" s="9" t="s">
        <v>13</v>
      </c>
      <c r="E49" s="4" t="s">
        <v>5</v>
      </c>
      <c r="F49" s="4" t="s">
        <v>5</v>
      </c>
      <c r="G49" s="4" t="s">
        <v>5</v>
      </c>
      <c r="H49" s="4" t="s">
        <v>5</v>
      </c>
      <c r="I49" s="9" t="s">
        <v>3</v>
      </c>
      <c r="J49" s="5">
        <f t="shared" si="0"/>
        <v>5</v>
      </c>
      <c r="K49" s="22" t="s">
        <v>69</v>
      </c>
    </row>
    <row r="50" spans="1:11" ht="57.6" x14ac:dyDescent="0.3">
      <c r="A50" s="33" t="s">
        <v>70</v>
      </c>
      <c r="B50" s="7" t="s">
        <v>50</v>
      </c>
      <c r="C50" s="7" t="s">
        <v>2</v>
      </c>
      <c r="D50" s="7" t="s">
        <v>3</v>
      </c>
      <c r="E50" s="8" t="s">
        <v>4</v>
      </c>
      <c r="F50" s="8" t="s">
        <v>4</v>
      </c>
      <c r="G50" s="8" t="s">
        <v>4</v>
      </c>
      <c r="H50" s="8" t="s">
        <v>4</v>
      </c>
      <c r="I50" s="7" t="s">
        <v>3</v>
      </c>
      <c r="J50" s="2">
        <f t="shared" si="0"/>
        <v>3</v>
      </c>
      <c r="K50" s="36" t="s">
        <v>71</v>
      </c>
    </row>
    <row r="51" spans="1:11" ht="38.4" x14ac:dyDescent="0.3">
      <c r="A51" s="34" t="s">
        <v>70</v>
      </c>
      <c r="B51" s="9" t="s">
        <v>50</v>
      </c>
      <c r="C51" s="9" t="s">
        <v>8</v>
      </c>
      <c r="D51" s="9" t="s">
        <v>3</v>
      </c>
      <c r="E51" s="10" t="s">
        <v>4</v>
      </c>
      <c r="F51" s="10" t="s">
        <v>4</v>
      </c>
      <c r="G51" s="10" t="s">
        <v>4</v>
      </c>
      <c r="H51" s="10" t="s">
        <v>4</v>
      </c>
      <c r="I51" s="9" t="s">
        <v>3</v>
      </c>
      <c r="J51" s="5">
        <f t="shared" si="0"/>
        <v>3</v>
      </c>
      <c r="K51" s="22" t="s">
        <v>72</v>
      </c>
    </row>
    <row r="52" spans="1:11" ht="38.4" x14ac:dyDescent="0.3">
      <c r="A52" s="33" t="s">
        <v>70</v>
      </c>
      <c r="B52" s="7" t="s">
        <v>50</v>
      </c>
      <c r="C52" s="7" t="s">
        <v>10</v>
      </c>
      <c r="D52" s="7" t="s">
        <v>3</v>
      </c>
      <c r="E52" s="8" t="s">
        <v>4</v>
      </c>
      <c r="F52" s="8" t="s">
        <v>4</v>
      </c>
      <c r="G52" s="8" t="s">
        <v>4</v>
      </c>
      <c r="H52" s="8" t="s">
        <v>4</v>
      </c>
      <c r="I52" s="7" t="s">
        <v>3</v>
      </c>
      <c r="J52" s="2">
        <f t="shared" si="0"/>
        <v>3</v>
      </c>
      <c r="K52" s="36" t="s">
        <v>73</v>
      </c>
    </row>
    <row r="53" spans="1:11" ht="19.2" x14ac:dyDescent="0.3">
      <c r="A53" s="42" t="s">
        <v>70</v>
      </c>
      <c r="B53" s="43" t="s">
        <v>50</v>
      </c>
      <c r="C53" s="43" t="s">
        <v>12</v>
      </c>
      <c r="D53" s="43" t="s">
        <v>13</v>
      </c>
      <c r="E53" s="44" t="s">
        <v>5</v>
      </c>
      <c r="F53" s="44" t="s">
        <v>5</v>
      </c>
      <c r="G53" s="44" t="s">
        <v>5</v>
      </c>
      <c r="H53" s="44" t="s">
        <v>5</v>
      </c>
      <c r="I53" s="43" t="s">
        <v>3</v>
      </c>
      <c r="J53" s="45">
        <f t="shared" si="0"/>
        <v>5</v>
      </c>
      <c r="K53" s="20" t="s">
        <v>48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47B6F-501F-42D4-B4B4-7C3A017BE62D}">
  <dimension ref="A1:B23"/>
  <sheetViews>
    <sheetView workbookViewId="0">
      <selection sqref="A1:B23"/>
    </sheetView>
  </sheetViews>
  <sheetFormatPr defaultRowHeight="14.4" x14ac:dyDescent="0.3"/>
  <cols>
    <col min="2" max="2" width="112.33203125" bestFit="1" customWidth="1"/>
  </cols>
  <sheetData>
    <row r="1" spans="1:2" x14ac:dyDescent="0.3">
      <c r="A1" t="s">
        <v>97</v>
      </c>
      <c r="B1" t="s">
        <v>98</v>
      </c>
    </row>
    <row r="3" spans="1:2" x14ac:dyDescent="0.3">
      <c r="A3" t="s">
        <v>99</v>
      </c>
      <c r="B3" t="s">
        <v>100</v>
      </c>
    </row>
    <row r="4" spans="1:2" x14ac:dyDescent="0.3">
      <c r="B4" t="s">
        <v>101</v>
      </c>
    </row>
    <row r="5" spans="1:2" x14ac:dyDescent="0.3">
      <c r="B5" t="s">
        <v>102</v>
      </c>
    </row>
    <row r="6" spans="1:2" x14ac:dyDescent="0.3">
      <c r="B6" t="s">
        <v>103</v>
      </c>
    </row>
    <row r="7" spans="1:2" x14ac:dyDescent="0.3">
      <c r="B7" t="s">
        <v>104</v>
      </c>
    </row>
    <row r="8" spans="1:2" x14ac:dyDescent="0.3">
      <c r="B8" t="s">
        <v>105</v>
      </c>
    </row>
    <row r="10" spans="1:2" x14ac:dyDescent="0.3">
      <c r="A10" t="s">
        <v>106</v>
      </c>
      <c r="B10" t="s">
        <v>107</v>
      </c>
    </row>
    <row r="11" spans="1:2" x14ac:dyDescent="0.3">
      <c r="B11" t="s">
        <v>108</v>
      </c>
    </row>
    <row r="12" spans="1:2" x14ac:dyDescent="0.3">
      <c r="B12" t="s">
        <v>109</v>
      </c>
    </row>
    <row r="13" spans="1:2" x14ac:dyDescent="0.3">
      <c r="B13" t="s">
        <v>110</v>
      </c>
    </row>
    <row r="14" spans="1:2" x14ac:dyDescent="0.3">
      <c r="B14" t="s">
        <v>111</v>
      </c>
    </row>
    <row r="15" spans="1:2" x14ac:dyDescent="0.3">
      <c r="B15" t="s">
        <v>105</v>
      </c>
    </row>
    <row r="17" spans="1:2" x14ac:dyDescent="0.3">
      <c r="A17" t="s">
        <v>112</v>
      </c>
      <c r="B17" t="s">
        <v>113</v>
      </c>
    </row>
    <row r="18" spans="1:2" x14ac:dyDescent="0.3">
      <c r="B18" t="s">
        <v>114</v>
      </c>
    </row>
    <row r="19" spans="1:2" x14ac:dyDescent="0.3">
      <c r="B19" t="s">
        <v>115</v>
      </c>
    </row>
    <row r="20" spans="1:2" x14ac:dyDescent="0.3">
      <c r="B20" t="s">
        <v>116</v>
      </c>
    </row>
    <row r="21" spans="1:2" x14ac:dyDescent="0.3">
      <c r="B21" t="s">
        <v>117</v>
      </c>
    </row>
    <row r="22" spans="1:2" x14ac:dyDescent="0.3">
      <c r="B22" t="s">
        <v>118</v>
      </c>
    </row>
    <row r="23" spans="1:2" x14ac:dyDescent="0.3">
      <c r="B23" t="s">
        <v>105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8026A69-5194-4D37-8A8E-75DCD6EC23E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Richtige Beispiele</vt:lpstr>
      <vt:lpstr>Fehlerhafte Beispiele</vt:lpstr>
      <vt:lpstr>Versionshinweise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Perchik</dc:creator>
  <cp:lastModifiedBy>Perchik</cp:lastModifiedBy>
  <dcterms:created xsi:type="dcterms:W3CDTF">2025-12-09T16:00:01Z</dcterms:created>
  <dcterms:modified xsi:type="dcterms:W3CDTF">2025-12-09T16:55:52Z</dcterms:modified>
</cp:coreProperties>
</file>